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Quality Findings" sheetId="1" state="visible" r:id="rId3"/>
    <sheet name="Legend" sheetId="2" state="visible" r:id="rId4"/>
  </sheets>
  <definedNames>
    <definedName function="false" hidden="true" localSheetId="0" name="_xlnm._FilterDatabase" vbProcedure="false">'Data Quality Findings'!$A$1:$J$31</definedName>
  </definedName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<sst xmlns="http://schemas.openxmlformats.org/spreadsheetml/2006/main" count="227" uniqueCount="152">
  <si>
    <t xml:space="preserve">Source File</t>
  </si>
  <si>
    <t xml:space="preserve">Column / Field</t>
  </si>
  <si>
    <t xml:space="preserve">Issue Type</t>
  </si>
  <si>
    <t xml:space="preserve">Finding (Evidence)</t>
  </si>
  <si>
    <t xml:space="preserve">Total Rows</t>
  </si>
  <si>
    <t xml:space="preserve">Affected Rows</t>
  </si>
  <si>
    <t xml:space="preserve">Rate</t>
  </si>
  <si>
    <t xml:space="preserve">Proposed Treatment (Silver Layer)</t>
  </si>
  <si>
    <t xml:space="preserve">Rationale</t>
  </si>
  <si>
    <t xml:space="preserve">Status</t>
  </si>
  <si>
    <t xml:space="preserve">lms_loan_daily.csv</t>
  </si>
  <si>
    <t xml:space="preserve">(all columns)</t>
  </si>
  <si>
    <t xml:space="preserve">None found</t>
  </si>
  <si>
    <t xml:space="preserve">Schema types inferred cleanly; zero nulls/blank strings across all columns; 137,500 rows = 137,500 distinct rows (no duplicates). Already used to build the existing gold label store (Lab 2).</t>
  </si>
  <si>
    <t xml:space="preserve">No cleaning required beyond existing silver pipeline (type casting, mob/dpd derivation already implemented).</t>
  </si>
  <si>
    <t xml:space="preserve">Confirms Lab-2 pipeline is safe to reuse as-is for the label store.</t>
  </si>
  <si>
    <t xml:space="preserve">Confirmed</t>
  </si>
  <si>
    <t xml:space="preserve">feature_clickstream.csv</t>
  </si>
  <si>
    <t xml:space="preserve">fe_1 ... fe_20</t>
  </si>
  <si>
    <t xml:space="preserve">No nulls/blanks; 0 duplicate rows; 0 duplicate (Customer_ID, snapshot_date) keys; min/max range (~-400 to +613) consistent with a normal-ish distribution, no sentinel/placeholder codes detected.</t>
  </si>
  <si>
    <t xml:space="preserve">No cleaning required; enforce schema/type on bronze-&gt;silver only.</t>
  </si>
  <si>
    <t xml:space="preserve">Verified duplicate-key check separately from row-level duplicate check, since a duplicate key would cause row fan-out on join to the label store.</t>
  </si>
  <si>
    <t xml:space="preserve">Customer_ID (coverage)</t>
  </si>
  <si>
    <t xml:space="preserve">Coverage gap</t>
  </si>
  <si>
    <t xml:space="preserve">Only 8,974 of 12,500 loan customers appear in this file at all (panel of 24 monthly rows per customer, within those 8,974).</t>
  </si>
  <si>
    <t xml:space="preserve">DECIDED: Left join from label store (keep all 12,500 loans); add boolean 'has_clickstream' feature. Null the fe_1..fe_20 values for the missing 3,526.</t>
  </si>
  <si>
    <t xml:space="preserve">Reconstructed labels directly from lms_loan_daily.csv (dpd&gt;=30, mob=6) and compared default rate: covered=28.87% vs uncovered=28.67% - negligible difference, so missingness isn't risk-driven. Working hypothesis: clickstream is only captured for customers who applied via a digital/web-app channel; offline applicants naturally lack it. Not confirmed by an explicit channel field in the data, but a defensible narrative for the deck. has_clickstream kept as a feature (unlike has_ssn, which was proven pure random corruption) since this gap is structural/coherent, not scattered corruption.</t>
  </si>
  <si>
    <t xml:space="preserve">features_attributes.csv</t>
  </si>
  <si>
    <t xml:space="preserve">Name</t>
  </si>
  <si>
    <t xml:space="preserve">Free-text / PII-adjacent</t>
  </si>
  <si>
    <t xml:space="preserve">Legitimate punctuation (hyphens, periods, apostrophes) plus a distinct CSV-quoting artifact: 107 rows contain a stray literal " character (e.g. 'ODonnell"d').</t>
  </si>
  <si>
    <t xml:space="preserve">Drop column entirely.</t>
  </si>
  <si>
    <t xml:space="preserve">Not a predictive ML feature; not worth cleaning a column that will not be used.</t>
  </si>
  <si>
    <t xml:space="preserve">SSN</t>
  </si>
  <si>
    <t xml:space="preserve">Placeholder value</t>
  </si>
  <si>
    <t xml:space="preserve">703 rows (5.6%) equal the literal placeholder '#F%$D@*&amp;8'. Remaining 11,797 all match a valid ###-##-#### pattern; no duplicate SSNs across customers.</t>
  </si>
  <si>
    <t xml:space="preserve">Drop column entirely (do not engineer a has_ssn flag).</t>
  </si>
  <si>
    <t xml:space="preserve">PII with no legitimate use as a feature. Tested whether SSN/Occupation/Age corruption co-occurred more than random chance would predict (52 actual vs 49.5 expected overlap, etc.) - matches independent random noise injection, not organic customer behavior. A has_ssn missingness flag would therefore carry no real signal.</t>
  </si>
  <si>
    <t xml:space="preserve">Age</t>
  </si>
  <si>
    <t xml:space="preserve">Data type + sentinel + outliers</t>
  </si>
  <si>
    <t xml:space="preserve">Inferred as string due to 637 rows (5.1%) with a trailing '_' (e.g. '31_'). After stripping: 104 rows exactly -500 (sentinel), 215 rows &gt; 100 (up to 8,678, clearly garbage, not organic old age).</t>
  </si>
  <si>
    <t xml:space="preserve">Strip trailing '_', cast to integer. Set values outside a plausible range (e.g. 18-100) to null - do NOT drop the row. Defer imputation (e.g. median) to gold layer.</t>
  </si>
  <si>
    <t xml:space="preserve">Nullifying preserves the row's other valid columns (Occupation, snapshot_date, etc.); dropping rows here would compound the clickstream coverage gap.</t>
  </si>
  <si>
    <t xml:space="preserve">Occupation</t>
  </si>
  <si>
    <t xml:space="preserve">880 rows (7.0%) equal the literal placeholder '_______'.</t>
  </si>
  <si>
    <t xml:space="preserve">Replace placeholder with null or an explicit 'Unknown' category. Do not drop the row.</t>
  </si>
  <si>
    <t xml:space="preserve">Missingness may still be meaningful as its own category at encoding time; row-level columns elsewhere remain valid.</t>
  </si>
  <si>
    <t xml:space="preserve">12,500 rows = 12,500 distinct Customer_ID = 100% of loan customers in lms_loan_daily.csv.</t>
  </si>
  <si>
    <t xml:space="preserve">No treatment needed.</t>
  </si>
  <si>
    <t xml:space="preserve">Unlike clickstream, this file has full coverage - no join-coverage decision required here.</t>
  </si>
  <si>
    <t xml:space="preserve">features_financials.csv</t>
  </si>
  <si>
    <t xml:space="preserve">Annual_Income</t>
  </si>
  <si>
    <t xml:space="preserve">Data type + sentinel</t>
  </si>
  <si>
    <t xml:space="preserve">859 rows (6.9%) have a trailing '_' character, forcing the column to infer as string instead of double.</t>
  </si>
  <si>
    <t xml:space="preserve">Strip trailing '_' via regex, then cast to double.</t>
  </si>
  <si>
    <t xml:space="preserve">Same corruption pattern as Num_of_Loan, Num_of_Delayed_Payment, Outstanding_Debt, and Age (attributes.csv) - handle with one shared regex rule across all affected columns.</t>
  </si>
  <si>
    <t xml:space="preserve">Monthly_Inhand_Salary</t>
  </si>
  <si>
    <t xml:space="preserve">Clean double; plausible range (303.65 - 15,204.63).</t>
  </si>
  <si>
    <t xml:space="preserve">Num_Bank_Accounts</t>
  </si>
  <si>
    <t xml:space="preserve">Sentinel + outlier</t>
  </si>
  <si>
    <t xml:space="preserve">4 rows negative (-1); 167 rows &gt; 20 accounts (max 1,756).</t>
  </si>
  <si>
    <t xml:space="preserve">DECIDED: Cast to int; null values &lt;0 or &gt;20. Cap of 20 confirmed with user.</t>
  </si>
  <si>
    <t xml:space="preserve">Exact cap is a judgment call - confirm plausible max bank-account count before finalizing threshold in silver script.</t>
  </si>
  <si>
    <t xml:space="preserve">Num_Credit_Card</t>
  </si>
  <si>
    <t xml:space="preserve">Outlier</t>
  </si>
  <si>
    <t xml:space="preserve">296 rows &gt; 20 credit cards (max 1,499).</t>
  </si>
  <si>
    <t xml:space="preserve">DECIDED: Cast to int; null values &gt;20 (cap of 20, consistent with Num_Bank_Accounts).</t>
  </si>
  <si>
    <t xml:space="preserve">Same threshold-judgment caveat as Num_Bank_Accounts.</t>
  </si>
  <si>
    <t xml:space="preserve">Interest_Rate</t>
  </si>
  <si>
    <t xml:space="preserve">270 rows &gt; 50% interest rate (max 5,789%).</t>
  </si>
  <si>
    <t xml:space="preserve">DECIDED: Cast to int; null values &gt;50% (cap of 50 confirmed with user).</t>
  </si>
  <si>
    <t xml:space="preserve">Threshold is a judgment call pending confirmation.</t>
  </si>
  <si>
    <t xml:space="preserve">Num_of_Loan</t>
  </si>
  <si>
    <t xml:space="preserve">Sentinel + negative + outlier</t>
  </si>
  <si>
    <t xml:space="preserve">500 rows = -100 (sentinel); 623 rows trailing '_'; 66 rows &gt; 20 loans. Union: 1,185 rows (9.5%) affected.</t>
  </si>
  <si>
    <t xml:space="preserve">DECIDED: Strip trailing _, cast to int; null -100 sentinel AND values &gt;10 (cap of 10 confirmed). -100 nulled rather than set to 0/1 - 0 is already a legitimate distinct value in this column, and 1 would fabricate unsupported information.</t>
  </si>
  <si>
    <t xml:space="preserve">Threshold is a judgment call; -100 is clearly a sentinel, not organic.</t>
  </si>
  <si>
    <t xml:space="preserve">Type_of_Loan</t>
  </si>
  <si>
    <t xml:space="preserve">Structurally consistent null (not a defect)</t>
  </si>
  <si>
    <t xml:space="preserve">1,426 nulls - verified these rows all have Num_of_Loan = 0 (no loans held, so no loan type to report).</t>
  </si>
  <si>
    <t xml:space="preserve">Keep as null / explicit 'No Loan' category. Consider deriving a 'Num_Loan_Types' count feature from the comma-separated text instead of using raw text.</t>
  </si>
  <si>
    <t xml:space="preserve">Cross-checked against Num_of_Loan before treating as missing data - this is expected structure, not corruption.</t>
  </si>
  <si>
    <t xml:space="preserve">Delay_from_due_date</t>
  </si>
  <si>
    <t xml:space="preserve">Negative value, ambiguous meaning</t>
  </si>
  <si>
    <t xml:space="preserve">88 rows negative (-5 to -1).</t>
  </si>
  <si>
    <t xml:space="preserve">DECIDED: Cast to int; null negative values (-5 to -1). No business-logic evidence (unlike the clickstream channel case) to justify treating negatives as a meaningful early-payment signal.</t>
  </si>
  <si>
    <t xml:space="preserve">Unlike other negative sentinels (e.g. Num_of_Loan = -100), a small negative delay is plausible as real signal, not obviously corrupted - needs judgment call, not automatic nulling.</t>
  </si>
  <si>
    <t xml:space="preserve">Num_of_Delayed_Payment</t>
  </si>
  <si>
    <t xml:space="preserve">84 rows negative; 374 rows trailing '_'; 1,576 rows &gt; 20. Union: 1,995 rows (16.0%) affected.</t>
  </si>
  <si>
    <t xml:space="preserve">DECIDED: Strip trailing _, cast to int; null negative values AND values &gt;36 (cap of 36 confirmed - wider than other caps since delayed-payment count may be genuinely predictive of default).</t>
  </si>
  <si>
    <t xml:space="preserve">Highest affected rate in this file - threshold choice materially affects how much data is nulled; confirm before finalizing.</t>
  </si>
  <si>
    <t xml:space="preserve">Changed_Credit_Limit</t>
  </si>
  <si>
    <t xml:space="preserve">254 rows (2.0%) equal the literal placeholder '_'.</t>
  </si>
  <si>
    <t xml:space="preserve">Replace '_' with null; cast remaining values to double.</t>
  </si>
  <si>
    <t xml:space="preserve">Negative values elsewhere in this column are legitimate (a lowered credit limit), so only the '_' placeholder needs treatment, not a range check.</t>
  </si>
  <si>
    <t xml:space="preserve">Num_Credit_Inquiries</t>
  </si>
  <si>
    <t xml:space="preserve">192 rows &gt; 50 inquiries (max 2,554).</t>
  </si>
  <si>
    <t xml:space="preserve">DECIDED: Cast to double; null values &gt;50 (cap of 50 confirmed with user).</t>
  </si>
  <si>
    <t xml:space="preserve">Credit_Mix</t>
  </si>
  <si>
    <t xml:space="preserve">2,611 rows (20.9%) equal the literal placeholder '_' - the highest corruption rate found in either feature file.</t>
  </si>
  <si>
    <t xml:space="preserve">Replace '_' with null or an explicit 'Unknown' category. Do not drop rows given the high rate.</t>
  </si>
  <si>
    <t xml:space="preserve">Same placeholder pattern as Occupation in attributes.csv, but far more prevalent here.</t>
  </si>
  <si>
    <t xml:space="preserve">Outstanding_Debt</t>
  </si>
  <si>
    <t xml:space="preserve">Sentinel</t>
  </si>
  <si>
    <t xml:space="preserve">139 rows (1.1%) have a trailing '_' character.</t>
  </si>
  <si>
    <t xml:space="preserve">Strip trailing '_', cast to double.</t>
  </si>
  <si>
    <t xml:space="preserve">Same shared trailing-underscore pattern as Annual_Income, Num_of_Loan, Num_of_Delayed_Payment.</t>
  </si>
  <si>
    <t xml:space="preserve">Credit_Utilization_Ratio</t>
  </si>
  <si>
    <t xml:space="preserve">Clean double; plausible range (20.1 - 48.2).</t>
  </si>
  <si>
    <t xml:space="preserve">Credit_History_Age</t>
  </si>
  <si>
    <t xml:space="preserve">Non-ML-ready format</t>
  </si>
  <si>
    <t xml:space="preserve">100% of rows stored as text, e.g. '10 Years and 9 Months'.</t>
  </si>
  <si>
    <t xml:space="preserve">Parse to total months (Years*12 + Months), store as integer.</t>
  </si>
  <si>
    <t xml:space="preserve">Required for any numeric/ML use - not a corruption, just a format conversion.</t>
  </si>
  <si>
    <t xml:space="preserve">Payment_of_Min_Amount</t>
  </si>
  <si>
    <t xml:space="preserve">Third category, not missing</t>
  </si>
  <si>
    <t xml:space="preserve">1,438 rows (11.5%) = 'NM', alongside 'Yes' (6,571) and 'No' (4,491). Researched: likely 'Not Mentioned' or 'No Minimum'.</t>
  </si>
  <si>
    <t xml:space="preserve">Keep 'NM' as its own explicit category (3-class categorical), not a missing value.</t>
  </si>
  <si>
    <t xml:space="preserve">Exact business meaning of 'NM' still unconfirmed - treatment doesn't depend on resolving it, but worth asking to properly label the category in the deck.</t>
  </si>
  <si>
    <t xml:space="preserve">Total_EMI_per_month</t>
  </si>
  <si>
    <t xml:space="preserve">Cross-field logical violation</t>
  </si>
  <si>
    <t xml:space="preserve">397 rows (3.2%) have Total_EMI_per_month &gt; Monthly_Inhand_Salary for the same row - a logical impossibility (can't pay more in loan installments than take-home income).</t>
  </si>
  <si>
    <t xml:space="preserve">Set Total_EMI_per_month to null where it exceeds that row's Monthly_Inhand_Salary.</t>
  </si>
  <si>
    <t xml:space="preserve">Deterministic cross-field business rule, not an arbitrary threshold - no judgment call needed.</t>
  </si>
  <si>
    <t xml:space="preserve">Amount_invested_monthly</t>
  </si>
  <si>
    <t xml:space="preserve">558 rows (4.5%) = the literal sentinel '__10000__'.</t>
  </si>
  <si>
    <t xml:space="preserve">Treat any value matching '^__.*__$' as null; cast remaining values to double.</t>
  </si>
  <si>
    <t xml:space="preserve">Same double-underscore-wrapped sentinel pattern as Monthly_Balance.</t>
  </si>
  <si>
    <t xml:space="preserve">Payment_Behaviour</t>
  </si>
  <si>
    <t xml:space="preserve">998 rows (8.0%) = the literal garbage value '!@9#%8'.</t>
  </si>
  <si>
    <t xml:space="preserve">Replace with null or an explicit 'Unknown' category.</t>
  </si>
  <si>
    <t xml:space="preserve">Same placeholder-corruption pattern seen across multiple categorical columns in this dataset.</t>
  </si>
  <si>
    <t xml:space="preserve">Monthly_Balance</t>
  </si>
  <si>
    <t xml:space="preserve">Sentinel + precision inconsistency</t>
  </si>
  <si>
    <t xml:space="preserve">1 row = extreme sentinel '__-333...333__'; decimal precision otherwise inconsistent across rows.</t>
  </si>
  <si>
    <t xml:space="preserve">Same double-underscore-wrapped sentinel pattern as Amount_invested_monthly.</t>
  </si>
  <si>
    <t xml:space="preserve">snapshot_date (window coverage)</t>
  </si>
  <si>
    <t xml:space="preserve">Coverage gap - date window boundary</t>
  </si>
  <si>
    <t xml:space="preserve">526 rows (4.2%) have snapshot_date = 2025-01-01, one month outside the backfill window (2023-01-01 to 2024-12-01) - excluded from bronze.</t>
  </si>
  <si>
    <t xml:space="preserve">DECIDED: Leave date window as-is. These correspond to loans originated 2025-01-01, which also has no label (label store uses the same 24-month scope from Lab 2) - extending the window would gain feature coverage for a month with no label anyway. Null attributes/financials features for these loans at gold, same treatment as the clickstream coverage gap.</t>
  </si>
  <si>
    <t xml:space="preserve">Verified bronze row totals (11,974 of 12,500) against raw file - confirmed the gap is exactly the 2025-01-01 snapshot, not a processing defect.</t>
  </si>
  <si>
    <t xml:space="preserve">526 rows (4.2%) have snapshot_date = 2025-01-01, same boundary issue as features_attributes.csv.</t>
  </si>
  <si>
    <t xml:space="preserve">DECIDED: Leave date window as-is (same reasoning as features_attributes.csv).</t>
  </si>
  <si>
    <t xml:space="preserve">Same root cause and decision as the attributes.csv row above.</t>
  </si>
  <si>
    <t xml:space="preserve">How this file is used</t>
  </si>
  <si>
    <t xml:space="preserve">One row per (Source File, Column/Field, Issue) combination found during EDA.</t>
  </si>
  <si>
    <t xml:space="preserve">'Total Rows' / 'Affected Rows' / 'Rate' are entered from the notebook's EDA output; 'Rate' is a live formula (Affected/Total).</t>
  </si>
  <si>
    <t xml:space="preserve">Update this sheet as each new CSV's EDA is completed - add rows, do not overwrite prior findings.</t>
  </si>
  <si>
    <t xml:space="preserve">Status legend:</t>
  </si>
  <si>
    <t xml:space="preserve">Finding verified and treatment decided.</t>
  </si>
  <si>
    <t xml:space="preserve">Pending Decision</t>
  </si>
  <si>
    <t xml:space="preserve">Finding verified, but treatment depends on a later design choice (e.g. gold-layer join strategy) or EDA not yet done.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</si>
</sst>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  <charset val="1"/>
    </font>
    <font>
      <sz val="10"/>
      <name val="Arial"/>
      <family val="2"/>
      <charset val="1"/>
    </font>
    <font>
      <sz val="10"/>
      <name val="Arial"/>
      <family val="0"/>
      <charset val="1"/>
    </font>
    <font>
      <b val="true"/>
      <sz val="12"/>
      <name val="Arial"/>
      <family val="2"/>
      <charset val="1"/>
    </font>
    <font>
      <b val="true"/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7" activeCellId="0" sqref="E7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0" width="19.16"/>
    <col collapsed="false" customWidth="true" hidden="false" outlineLevel="0" max="2" min="2" style="0" width="22"/>
    <col collapsed="false" customWidth="true" hidden="false" outlineLevel="0" max="3" min="3" style="0" width="27.67"/>
    <col collapsed="false" customWidth="true" hidden="false" outlineLevel="0" max="4" min="4" style="0" width="48.83"/>
    <col collapsed="false" customWidth="true" hidden="false" outlineLevel="0" max="5" min="5" style="0" width="10.66"/>
    <col collapsed="false" customWidth="true" hidden="false" outlineLevel="0" max="6" min="6" style="0" width="12.83"/>
    <col collapsed="false" customWidth="true" hidden="false" outlineLevel="0" max="7" min="7" style="0" width="9.83"/>
    <col collapsed="false" customWidth="true" hidden="false" outlineLevel="0" max="8" min="8" style="0" width="47.33"/>
    <col collapsed="false" customWidth="true" hidden="false" outlineLevel="0" max="9" min="9" style="0" width="65.5"/>
    <col collapsed="false" customWidth="true" hidden="false" outlineLevel="0" max="10" min="10" style="0" width="11.33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55.5" hidden="false" customHeight="tru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3" t="n">
        <v>137500</v>
      </c>
      <c r="F2" s="3" t="n">
        <v>0</v>
      </c>
      <c r="G2" s="4" t="n">
        <f aca="false">IFERROR(F2/E2,"")</f>
        <v>0</v>
      </c>
      <c r="H2" s="2" t="s">
        <v>14</v>
      </c>
      <c r="I2" s="2" t="s">
        <v>15</v>
      </c>
      <c r="J2" s="5" t="s">
        <v>16</v>
      </c>
    </row>
    <row r="3" customFormat="false" ht="55.5" hidden="false" customHeight="true" outlineLevel="0" collapsed="false">
      <c r="A3" s="2" t="s">
        <v>17</v>
      </c>
      <c r="B3" s="2" t="s">
        <v>18</v>
      </c>
      <c r="C3" s="2" t="s">
        <v>12</v>
      </c>
      <c r="D3" s="2" t="s">
        <v>19</v>
      </c>
      <c r="E3" s="3" t="n">
        <v>215376</v>
      </c>
      <c r="F3" s="3" t="n">
        <v>0</v>
      </c>
      <c r="G3" s="4" t="n">
        <f aca="false">IFERROR(F3/E3,"")</f>
        <v>0</v>
      </c>
      <c r="H3" s="2" t="s">
        <v>20</v>
      </c>
      <c r="I3" s="2" t="s">
        <v>21</v>
      </c>
      <c r="J3" s="5" t="s">
        <v>16</v>
      </c>
    </row>
    <row r="4" customFormat="false" ht="111.75" hidden="false" customHeight="true" outlineLevel="0" collapsed="false">
      <c r="A4" s="2" t="s">
        <v>17</v>
      </c>
      <c r="B4" s="2" t="s">
        <v>22</v>
      </c>
      <c r="C4" s="2" t="s">
        <v>23</v>
      </c>
      <c r="D4" s="2" t="s">
        <v>24</v>
      </c>
      <c r="E4" s="3" t="n">
        <v>12500</v>
      </c>
      <c r="F4" s="3" t="n">
        <v>3526</v>
      </c>
      <c r="G4" s="4" t="n">
        <f aca="false">IFERROR(F4/E4,"")</f>
        <v>0.28208</v>
      </c>
      <c r="H4" s="2" t="s">
        <v>25</v>
      </c>
      <c r="I4" s="2" t="s">
        <v>26</v>
      </c>
      <c r="J4" s="6" t="s">
        <v>16</v>
      </c>
    </row>
    <row r="5" customFormat="false" ht="42" hidden="false" customHeight="true" outlineLevel="0" collapsed="false">
      <c r="A5" s="2" t="s">
        <v>27</v>
      </c>
      <c r="B5" s="2" t="s">
        <v>28</v>
      </c>
      <c r="C5" s="2" t="s">
        <v>29</v>
      </c>
      <c r="D5" s="2" t="s">
        <v>30</v>
      </c>
      <c r="E5" s="3" t="n">
        <v>12500</v>
      </c>
      <c r="F5" s="3" t="n">
        <v>107</v>
      </c>
      <c r="G5" s="4" t="n">
        <f aca="false">IFERROR(F5/E5,"")</f>
        <v>0.00856</v>
      </c>
      <c r="H5" s="2" t="s">
        <v>31</v>
      </c>
      <c r="I5" s="2" t="s">
        <v>32</v>
      </c>
      <c r="J5" s="5" t="s">
        <v>16</v>
      </c>
    </row>
    <row r="6" customFormat="false" ht="69.75" hidden="false" customHeight="true" outlineLevel="0" collapsed="false">
      <c r="A6" s="2" t="s">
        <v>27</v>
      </c>
      <c r="B6" s="2" t="s">
        <v>33</v>
      </c>
      <c r="C6" s="2" t="s">
        <v>34</v>
      </c>
      <c r="D6" s="2" t="s">
        <v>35</v>
      </c>
      <c r="E6" s="3" t="n">
        <v>12500</v>
      </c>
      <c r="F6" s="3" t="n">
        <v>703</v>
      </c>
      <c r="G6" s="4" t="n">
        <f aca="false">IFERROR(F6/E6,"")</f>
        <v>0.05624</v>
      </c>
      <c r="H6" s="2" t="s">
        <v>36</v>
      </c>
      <c r="I6" s="2" t="s">
        <v>37</v>
      </c>
      <c r="J6" s="5" t="s">
        <v>16</v>
      </c>
    </row>
    <row r="7" customFormat="false" ht="55.5" hidden="false" customHeight="true" outlineLevel="0" collapsed="false">
      <c r="A7" s="2" t="s">
        <v>27</v>
      </c>
      <c r="B7" s="2" t="s">
        <v>38</v>
      </c>
      <c r="C7" s="2" t="s">
        <v>39</v>
      </c>
      <c r="D7" s="2" t="s">
        <v>40</v>
      </c>
      <c r="E7" s="3" t="n">
        <v>12500</v>
      </c>
      <c r="F7" s="3" t="n">
        <v>956</v>
      </c>
      <c r="G7" s="4" t="n">
        <f aca="false">IFERROR(F7/E7,"")</f>
        <v>0.07648</v>
      </c>
      <c r="H7" s="2" t="s">
        <v>41</v>
      </c>
      <c r="I7" s="2" t="s">
        <v>42</v>
      </c>
      <c r="J7" s="5" t="s">
        <v>16</v>
      </c>
    </row>
    <row r="8" customFormat="false" ht="27.75" hidden="false" customHeight="true" outlineLevel="0" collapsed="false">
      <c r="A8" s="2" t="s">
        <v>27</v>
      </c>
      <c r="B8" s="2" t="s">
        <v>43</v>
      </c>
      <c r="C8" s="2" t="s">
        <v>34</v>
      </c>
      <c r="D8" s="2" t="s">
        <v>44</v>
      </c>
      <c r="E8" s="3" t="n">
        <v>12500</v>
      </c>
      <c r="F8" s="3" t="n">
        <v>880</v>
      </c>
      <c r="G8" s="4" t="n">
        <f aca="false">IFERROR(F8/E8,"")</f>
        <v>0.0704</v>
      </c>
      <c r="H8" s="2" t="s">
        <v>45</v>
      </c>
      <c r="I8" s="2" t="s">
        <v>46</v>
      </c>
      <c r="J8" s="5" t="s">
        <v>16</v>
      </c>
    </row>
    <row r="9" customFormat="false" ht="27.75" hidden="false" customHeight="true" outlineLevel="0" collapsed="false">
      <c r="A9" s="2" t="s">
        <v>27</v>
      </c>
      <c r="B9" s="2" t="s">
        <v>22</v>
      </c>
      <c r="C9" s="2" t="s">
        <v>12</v>
      </c>
      <c r="D9" s="2" t="s">
        <v>47</v>
      </c>
      <c r="E9" s="3" t="n">
        <v>12500</v>
      </c>
      <c r="F9" s="3" t="n">
        <v>0</v>
      </c>
      <c r="G9" s="4" t="n">
        <f aca="false">IFERROR(F9/E9,"")</f>
        <v>0</v>
      </c>
      <c r="H9" s="2" t="s">
        <v>48</v>
      </c>
      <c r="I9" s="2" t="s">
        <v>49</v>
      </c>
      <c r="J9" s="5" t="s">
        <v>16</v>
      </c>
    </row>
    <row r="10" customFormat="false" ht="42" hidden="false" customHeight="true" outlineLevel="0" collapsed="false">
      <c r="A10" s="2" t="s">
        <v>50</v>
      </c>
      <c r="B10" s="2" t="s">
        <v>51</v>
      </c>
      <c r="C10" s="2" t="s">
        <v>52</v>
      </c>
      <c r="D10" s="2" t="s">
        <v>53</v>
      </c>
      <c r="E10" s="3" t="n">
        <v>12500</v>
      </c>
      <c r="F10" s="3" t="n">
        <v>859</v>
      </c>
      <c r="G10" s="4" t="n">
        <f aca="false">IFERROR(F10/E10,"")</f>
        <v>0.06872</v>
      </c>
      <c r="H10" s="2" t="s">
        <v>54</v>
      </c>
      <c r="I10" s="2" t="s">
        <v>55</v>
      </c>
      <c r="J10" s="5" t="s">
        <v>16</v>
      </c>
    </row>
    <row r="11" customFormat="false" ht="15" hidden="false" customHeight="false" outlineLevel="0" collapsed="false">
      <c r="A11" s="2" t="s">
        <v>50</v>
      </c>
      <c r="B11" s="2" t="s">
        <v>56</v>
      </c>
      <c r="C11" s="2" t="s">
        <v>12</v>
      </c>
      <c r="D11" s="2" t="s">
        <v>57</v>
      </c>
      <c r="E11" s="3" t="n">
        <v>12500</v>
      </c>
      <c r="F11" s="3" t="n">
        <v>0</v>
      </c>
      <c r="G11" s="4" t="n">
        <f aca="false">IFERROR(F11/E11,"")</f>
        <v>0</v>
      </c>
      <c r="H11" s="2" t="s">
        <v>48</v>
      </c>
      <c r="I11" s="2"/>
      <c r="J11" s="5" t="s">
        <v>16</v>
      </c>
    </row>
    <row r="12" customFormat="false" ht="27.75" hidden="false" customHeight="true" outlineLevel="0" collapsed="false">
      <c r="A12" s="2" t="s">
        <v>50</v>
      </c>
      <c r="B12" s="2" t="s">
        <v>58</v>
      </c>
      <c r="C12" s="2" t="s">
        <v>59</v>
      </c>
      <c r="D12" s="2" t="s">
        <v>60</v>
      </c>
      <c r="E12" s="3" t="n">
        <v>12500</v>
      </c>
      <c r="F12" s="3" t="n">
        <v>171</v>
      </c>
      <c r="G12" s="4" t="n">
        <f aca="false">IFERROR(F12/E12,"")</f>
        <v>0.01368</v>
      </c>
      <c r="H12" s="2" t="s">
        <v>61</v>
      </c>
      <c r="I12" s="2" t="s">
        <v>62</v>
      </c>
      <c r="J12" s="6" t="s">
        <v>16</v>
      </c>
    </row>
    <row r="13" customFormat="false" ht="27.75" hidden="false" customHeight="true" outlineLevel="0" collapsed="false">
      <c r="A13" s="2" t="s">
        <v>50</v>
      </c>
      <c r="B13" s="2" t="s">
        <v>63</v>
      </c>
      <c r="C13" s="2" t="s">
        <v>64</v>
      </c>
      <c r="D13" s="2" t="s">
        <v>65</v>
      </c>
      <c r="E13" s="3" t="n">
        <v>12500</v>
      </c>
      <c r="F13" s="3" t="n">
        <v>296</v>
      </c>
      <c r="G13" s="4" t="n">
        <f aca="false">IFERROR(F13/E13,"")</f>
        <v>0.02368</v>
      </c>
      <c r="H13" s="2" t="s">
        <v>66</v>
      </c>
      <c r="I13" s="2" t="s">
        <v>67</v>
      </c>
      <c r="J13" s="6" t="s">
        <v>16</v>
      </c>
    </row>
    <row r="14" customFormat="false" ht="27.75" hidden="false" customHeight="true" outlineLevel="0" collapsed="false">
      <c r="A14" s="2" t="s">
        <v>50</v>
      </c>
      <c r="B14" s="2" t="s">
        <v>68</v>
      </c>
      <c r="C14" s="2" t="s">
        <v>64</v>
      </c>
      <c r="D14" s="2" t="s">
        <v>69</v>
      </c>
      <c r="E14" s="3" t="n">
        <v>12500</v>
      </c>
      <c r="F14" s="3" t="n">
        <v>270</v>
      </c>
      <c r="G14" s="4" t="n">
        <f aca="false">IFERROR(F14/E14,"")</f>
        <v>0.0216</v>
      </c>
      <c r="H14" s="2" t="s">
        <v>70</v>
      </c>
      <c r="I14" s="2" t="s">
        <v>71</v>
      </c>
      <c r="J14" s="6" t="s">
        <v>16</v>
      </c>
    </row>
    <row r="15" customFormat="false" ht="69.75" hidden="false" customHeight="true" outlineLevel="0" collapsed="false">
      <c r="A15" s="2" t="s">
        <v>50</v>
      </c>
      <c r="B15" s="2" t="s">
        <v>72</v>
      </c>
      <c r="C15" s="2" t="s">
        <v>73</v>
      </c>
      <c r="D15" s="2" t="s">
        <v>74</v>
      </c>
      <c r="E15" s="3" t="n">
        <v>12500</v>
      </c>
      <c r="F15" s="3" t="n">
        <v>1185</v>
      </c>
      <c r="G15" s="4" t="n">
        <f aca="false">IFERROR(F15/E15,"")</f>
        <v>0.0948</v>
      </c>
      <c r="H15" s="2" t="s">
        <v>75</v>
      </c>
      <c r="I15" s="2" t="s">
        <v>76</v>
      </c>
      <c r="J15" s="6" t="s">
        <v>16</v>
      </c>
    </row>
    <row r="16" customFormat="false" ht="42" hidden="false" customHeight="true" outlineLevel="0" collapsed="false">
      <c r="A16" s="2" t="s">
        <v>50</v>
      </c>
      <c r="B16" s="2" t="s">
        <v>77</v>
      </c>
      <c r="C16" s="2" t="s">
        <v>78</v>
      </c>
      <c r="D16" s="2" t="s">
        <v>79</v>
      </c>
      <c r="E16" s="3" t="n">
        <v>12500</v>
      </c>
      <c r="F16" s="3" t="n">
        <v>1426</v>
      </c>
      <c r="G16" s="4" t="n">
        <f aca="false">IFERROR(F16/E16,"")</f>
        <v>0.11408</v>
      </c>
      <c r="H16" s="2" t="s">
        <v>80</v>
      </c>
      <c r="I16" s="2" t="s">
        <v>81</v>
      </c>
      <c r="J16" s="5" t="s">
        <v>16</v>
      </c>
    </row>
    <row r="17" customFormat="false" ht="55.5" hidden="false" customHeight="true" outlineLevel="0" collapsed="false">
      <c r="A17" s="2" t="s">
        <v>50</v>
      </c>
      <c r="B17" s="2" t="s">
        <v>82</v>
      </c>
      <c r="C17" s="2" t="s">
        <v>83</v>
      </c>
      <c r="D17" s="2" t="s">
        <v>84</v>
      </c>
      <c r="E17" s="3" t="n">
        <v>12500</v>
      </c>
      <c r="F17" s="3" t="n">
        <v>88</v>
      </c>
      <c r="G17" s="4" t="n">
        <f aca="false">IFERROR(F17/E17,"")</f>
        <v>0.00704</v>
      </c>
      <c r="H17" s="2" t="s">
        <v>85</v>
      </c>
      <c r="I17" s="2" t="s">
        <v>86</v>
      </c>
      <c r="J17" s="6" t="s">
        <v>16</v>
      </c>
    </row>
    <row r="18" customFormat="false" ht="55.5" hidden="false" customHeight="true" outlineLevel="0" collapsed="false">
      <c r="A18" s="2" t="s">
        <v>50</v>
      </c>
      <c r="B18" s="2" t="s">
        <v>87</v>
      </c>
      <c r="C18" s="2" t="s">
        <v>73</v>
      </c>
      <c r="D18" s="2" t="s">
        <v>88</v>
      </c>
      <c r="E18" s="3" t="n">
        <v>12500</v>
      </c>
      <c r="F18" s="3" t="n">
        <v>1995</v>
      </c>
      <c r="G18" s="4" t="n">
        <f aca="false">IFERROR(F18/E18,"")</f>
        <v>0.1596</v>
      </c>
      <c r="H18" s="2" t="s">
        <v>89</v>
      </c>
      <c r="I18" s="2" t="s">
        <v>90</v>
      </c>
      <c r="J18" s="6" t="s">
        <v>16</v>
      </c>
    </row>
    <row r="19" customFormat="false" ht="27.75" hidden="false" customHeight="true" outlineLevel="0" collapsed="false">
      <c r="A19" s="2" t="s">
        <v>50</v>
      </c>
      <c r="B19" s="2" t="s">
        <v>91</v>
      </c>
      <c r="C19" s="2" t="s">
        <v>34</v>
      </c>
      <c r="D19" s="2" t="s">
        <v>92</v>
      </c>
      <c r="E19" s="3" t="n">
        <v>12500</v>
      </c>
      <c r="F19" s="3" t="n">
        <v>254</v>
      </c>
      <c r="G19" s="4" t="n">
        <f aca="false">IFERROR(F19/E19,"")</f>
        <v>0.02032</v>
      </c>
      <c r="H19" s="2" t="s">
        <v>93</v>
      </c>
      <c r="I19" s="2" t="s">
        <v>94</v>
      </c>
      <c r="J19" s="5" t="s">
        <v>16</v>
      </c>
    </row>
    <row r="20" customFormat="false" ht="27.75" hidden="false" customHeight="true" outlineLevel="0" collapsed="false">
      <c r="A20" s="2" t="s">
        <v>50</v>
      </c>
      <c r="B20" s="2" t="s">
        <v>95</v>
      </c>
      <c r="C20" s="2" t="s">
        <v>64</v>
      </c>
      <c r="D20" s="2" t="s">
        <v>96</v>
      </c>
      <c r="E20" s="3" t="n">
        <v>12500</v>
      </c>
      <c r="F20" s="3" t="n">
        <v>192</v>
      </c>
      <c r="G20" s="4" t="n">
        <f aca="false">IFERROR(F20/E20,"")</f>
        <v>0.01536</v>
      </c>
      <c r="H20" s="2" t="s">
        <v>97</v>
      </c>
      <c r="I20" s="2" t="s">
        <v>71</v>
      </c>
      <c r="J20" s="6" t="s">
        <v>16</v>
      </c>
    </row>
    <row r="21" customFormat="false" ht="27.75" hidden="false" customHeight="true" outlineLevel="0" collapsed="false">
      <c r="A21" s="2" t="s">
        <v>50</v>
      </c>
      <c r="B21" s="2" t="s">
        <v>98</v>
      </c>
      <c r="C21" s="2" t="s">
        <v>34</v>
      </c>
      <c r="D21" s="2" t="s">
        <v>99</v>
      </c>
      <c r="E21" s="3" t="n">
        <v>12500</v>
      </c>
      <c r="F21" s="3" t="n">
        <v>2611</v>
      </c>
      <c r="G21" s="4" t="n">
        <f aca="false">IFERROR(F21/E21,"")</f>
        <v>0.20888</v>
      </c>
      <c r="H21" s="2" t="s">
        <v>100</v>
      </c>
      <c r="I21" s="2" t="s">
        <v>101</v>
      </c>
      <c r="J21" s="5" t="s">
        <v>16</v>
      </c>
    </row>
    <row r="22" customFormat="false" ht="27.75" hidden="false" customHeight="true" outlineLevel="0" collapsed="false">
      <c r="A22" s="2" t="s">
        <v>50</v>
      </c>
      <c r="B22" s="2" t="s">
        <v>102</v>
      </c>
      <c r="C22" s="2" t="s">
        <v>103</v>
      </c>
      <c r="D22" s="2" t="s">
        <v>104</v>
      </c>
      <c r="E22" s="3" t="n">
        <v>12500</v>
      </c>
      <c r="F22" s="3" t="n">
        <v>139</v>
      </c>
      <c r="G22" s="4" t="n">
        <f aca="false">IFERROR(F22/E22,"")</f>
        <v>0.01112</v>
      </c>
      <c r="H22" s="2" t="s">
        <v>105</v>
      </c>
      <c r="I22" s="2" t="s">
        <v>106</v>
      </c>
      <c r="J22" s="5" t="s">
        <v>16</v>
      </c>
    </row>
    <row r="23" customFormat="false" ht="15" hidden="false" customHeight="false" outlineLevel="0" collapsed="false">
      <c r="A23" s="2" t="s">
        <v>50</v>
      </c>
      <c r="B23" s="2" t="s">
        <v>107</v>
      </c>
      <c r="C23" s="2" t="s">
        <v>12</v>
      </c>
      <c r="D23" s="2" t="s">
        <v>108</v>
      </c>
      <c r="E23" s="3" t="n">
        <v>12500</v>
      </c>
      <c r="F23" s="3" t="n">
        <v>0</v>
      </c>
      <c r="G23" s="4" t="n">
        <f aca="false">IFERROR(F23/E23,"")</f>
        <v>0</v>
      </c>
      <c r="H23" s="2" t="s">
        <v>48</v>
      </c>
      <c r="I23" s="2"/>
      <c r="J23" s="5" t="s">
        <v>16</v>
      </c>
    </row>
    <row r="24" customFormat="false" ht="27.75" hidden="false" customHeight="true" outlineLevel="0" collapsed="false">
      <c r="A24" s="2" t="s">
        <v>50</v>
      </c>
      <c r="B24" s="2" t="s">
        <v>109</v>
      </c>
      <c r="C24" s="2" t="s">
        <v>110</v>
      </c>
      <c r="D24" s="2" t="s">
        <v>111</v>
      </c>
      <c r="E24" s="3" t="n">
        <v>12500</v>
      </c>
      <c r="F24" s="3" t="n">
        <v>12500</v>
      </c>
      <c r="G24" s="4" t="n">
        <f aca="false">IFERROR(F24/E24,"")</f>
        <v>1</v>
      </c>
      <c r="H24" s="2" t="s">
        <v>112</v>
      </c>
      <c r="I24" s="2" t="s">
        <v>113</v>
      </c>
      <c r="J24" s="5" t="s">
        <v>16</v>
      </c>
    </row>
    <row r="25" customFormat="false" ht="27.75" hidden="false" customHeight="true" outlineLevel="0" collapsed="false">
      <c r="A25" s="2" t="s">
        <v>50</v>
      </c>
      <c r="B25" s="2" t="s">
        <v>114</v>
      </c>
      <c r="C25" s="2" t="s">
        <v>115</v>
      </c>
      <c r="D25" s="2" t="s">
        <v>116</v>
      </c>
      <c r="E25" s="3" t="n">
        <v>12500</v>
      </c>
      <c r="F25" s="3" t="n">
        <v>1438</v>
      </c>
      <c r="G25" s="4" t="n">
        <f aca="false">IFERROR(F25/E25,"")</f>
        <v>0.11504</v>
      </c>
      <c r="H25" s="2" t="s">
        <v>117</v>
      </c>
      <c r="I25" s="2" t="s">
        <v>118</v>
      </c>
      <c r="J25" s="5" t="s">
        <v>16</v>
      </c>
    </row>
    <row r="26" customFormat="false" ht="55.5" hidden="false" customHeight="true" outlineLevel="0" collapsed="false">
      <c r="A26" s="2" t="s">
        <v>50</v>
      </c>
      <c r="B26" s="2" t="s">
        <v>119</v>
      </c>
      <c r="C26" s="2" t="s">
        <v>120</v>
      </c>
      <c r="D26" s="2" t="s">
        <v>121</v>
      </c>
      <c r="E26" s="3" t="n">
        <v>12500</v>
      </c>
      <c r="F26" s="3" t="n">
        <v>397</v>
      </c>
      <c r="G26" s="4" t="n">
        <f aca="false">IFERROR(F26/E26,"")</f>
        <v>0.03176</v>
      </c>
      <c r="H26" s="2" t="s">
        <v>122</v>
      </c>
      <c r="I26" s="2" t="s">
        <v>123</v>
      </c>
      <c r="J26" s="5" t="s">
        <v>16</v>
      </c>
    </row>
    <row r="27" customFormat="false" ht="27.75" hidden="false" customHeight="true" outlineLevel="0" collapsed="false">
      <c r="A27" s="2" t="s">
        <v>50</v>
      </c>
      <c r="B27" s="2" t="s">
        <v>124</v>
      </c>
      <c r="C27" s="2" t="s">
        <v>103</v>
      </c>
      <c r="D27" s="2" t="s">
        <v>125</v>
      </c>
      <c r="E27" s="3" t="n">
        <v>12500</v>
      </c>
      <c r="F27" s="3" t="n">
        <v>558</v>
      </c>
      <c r="G27" s="4" t="n">
        <f aca="false">IFERROR(F27/E27,"")</f>
        <v>0.04464</v>
      </c>
      <c r="H27" s="2" t="s">
        <v>126</v>
      </c>
      <c r="I27" s="2" t="s">
        <v>127</v>
      </c>
      <c r="J27" s="5" t="s">
        <v>16</v>
      </c>
    </row>
    <row r="28" customFormat="false" ht="27.75" hidden="false" customHeight="true" outlineLevel="0" collapsed="false">
      <c r="A28" s="2" t="s">
        <v>50</v>
      </c>
      <c r="B28" s="2" t="s">
        <v>128</v>
      </c>
      <c r="C28" s="2" t="s">
        <v>34</v>
      </c>
      <c r="D28" s="2" t="s">
        <v>129</v>
      </c>
      <c r="E28" s="3" t="n">
        <v>12500</v>
      </c>
      <c r="F28" s="3" t="n">
        <v>998</v>
      </c>
      <c r="G28" s="4" t="n">
        <f aca="false">IFERROR(F28/E28,"")</f>
        <v>0.07984</v>
      </c>
      <c r="H28" s="2" t="s">
        <v>130</v>
      </c>
      <c r="I28" s="2" t="s">
        <v>131</v>
      </c>
      <c r="J28" s="5" t="s">
        <v>16</v>
      </c>
    </row>
    <row r="29" customFormat="false" ht="27.75" hidden="false" customHeight="true" outlineLevel="0" collapsed="false">
      <c r="A29" s="2" t="s">
        <v>50</v>
      </c>
      <c r="B29" s="2" t="s">
        <v>132</v>
      </c>
      <c r="C29" s="2" t="s">
        <v>133</v>
      </c>
      <c r="D29" s="2" t="s">
        <v>134</v>
      </c>
      <c r="E29" s="3" t="n">
        <v>12500</v>
      </c>
      <c r="F29" s="3" t="n">
        <v>1</v>
      </c>
      <c r="G29" s="4" t="n">
        <f aca="false">IFERROR(F29/E29,"")</f>
        <v>8E-005</v>
      </c>
      <c r="H29" s="2" t="s">
        <v>126</v>
      </c>
      <c r="I29" s="2" t="s">
        <v>135</v>
      </c>
      <c r="J29" s="5" t="s">
        <v>16</v>
      </c>
    </row>
    <row r="30" customFormat="false" ht="79.85" hidden="false" customHeight="false" outlineLevel="0" collapsed="false">
      <c r="A30" s="7" t="s">
        <v>27</v>
      </c>
      <c r="B30" s="7" t="s">
        <v>136</v>
      </c>
      <c r="C30" s="7" t="s">
        <v>137</v>
      </c>
      <c r="D30" s="7" t="s">
        <v>138</v>
      </c>
      <c r="E30" s="8" t="n">
        <v>12500</v>
      </c>
      <c r="F30" s="8" t="n">
        <v>526</v>
      </c>
      <c r="G30" s="9" t="n">
        <f aca="false">IFERROR(F30/E30,"")</f>
        <v>0.04208</v>
      </c>
      <c r="H30" s="7" t="s">
        <v>139</v>
      </c>
      <c r="I30" s="7" t="s">
        <v>140</v>
      </c>
      <c r="J30" s="10" t="s">
        <v>16</v>
      </c>
    </row>
    <row r="31" customFormat="false" ht="23.85" hidden="false" customHeight="false" outlineLevel="0" collapsed="false">
      <c r="A31" s="7" t="s">
        <v>50</v>
      </c>
      <c r="B31" s="7" t="s">
        <v>136</v>
      </c>
      <c r="C31" s="7" t="s">
        <v>137</v>
      </c>
      <c r="D31" s="7" t="s">
        <v>141</v>
      </c>
      <c r="E31" s="8" t="n">
        <v>12500</v>
      </c>
      <c r="F31" s="8" t="n">
        <v>526</v>
      </c>
      <c r="G31" s="9" t="n">
        <f aca="false">IFERROR(F31/E31,"")</f>
        <v>0.04208</v>
      </c>
      <c r="H31" s="7" t="s">
        <v>142</v>
      </c>
      <c r="I31" s="7" t="s">
        <v>143</v>
      </c>
      <c r="J31" s="10" t="s">
        <v>16</v>
      </c>
    </row>
  </sheetData>
  <autoFilter ref="A1:J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0"/>
  </cols>
  <sheetData>
    <row r="1" customFormat="false" ht="15" hidden="false" customHeight="true" outlineLevel="0" collapsed="false">
      <c r="A1" s="11" t="s">
        <v>144</v>
      </c>
      <c r="B1" s="12"/>
    </row>
    <row r="2" customFormat="false" ht="15" hidden="false" customHeight="true" outlineLevel="0" collapsed="false">
      <c r="A2" s="12"/>
      <c r="B2" s="12"/>
    </row>
    <row r="3" customFormat="false" ht="15" hidden="false" customHeight="true" outlineLevel="0" collapsed="false">
      <c r="A3" s="12" t="s">
        <v>145</v>
      </c>
      <c r="B3" s="12"/>
    </row>
    <row r="4" customFormat="false" ht="15" hidden="false" customHeight="true" outlineLevel="0" collapsed="false">
      <c r="A4" s="12" t="s">
        <v>146</v>
      </c>
      <c r="B4" s="12"/>
    </row>
    <row r="5" customFormat="false" ht="15" hidden="false" customHeight="true" outlineLevel="0" collapsed="false">
      <c r="A5" s="12" t="s">
        <v>147</v>
      </c>
      <c r="B5" s="12"/>
    </row>
    <row r="6" customFormat="false" ht="15" hidden="false" customHeight="true" outlineLevel="0" collapsed="false">
      <c r="A6" s="12"/>
      <c r="B6" s="12"/>
    </row>
    <row r="7" customFormat="false" ht="15" hidden="false" customHeight="true" outlineLevel="0" collapsed="false">
      <c r="A7" s="13" t="s">
        <v>148</v>
      </c>
      <c r="B7" s="12"/>
    </row>
    <row r="8" customFormat="false" ht="15" hidden="false" customHeight="true" outlineLevel="0" collapsed="false">
      <c r="A8" s="14" t="s">
        <v>16</v>
      </c>
      <c r="B8" s="12" t="s">
        <v>149</v>
      </c>
    </row>
    <row r="9" customFormat="false" ht="15" hidden="false" customHeight="true" outlineLevel="0" collapsed="false">
      <c r="A9" s="15" t="s">
        <v>150</v>
      </c>
      <c r="B9" s="12" t="s">
        <v>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2026-09-29T06:56:53Z</dcterms:created>
  <dc:creator>openpyxl</dc:creator>
  <dc:description/>
  <dc:language>en-US</dc:language>
  <cp:lastModifiedBy>Adiguna HAKUSUMA</cp:lastModifiedBy>
  <dcterms:modified xsi:type="dcterms:W3CDTF">2026-09-29T12:02:16Z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